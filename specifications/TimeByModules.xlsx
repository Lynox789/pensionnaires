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er" sheetId="1" r:id="rId5"/>
    <sheet state="visible" name="Dashboard" sheetId="2" r:id="rId6"/>
    <sheet state="visible" name="Calc_Data" sheetId="3" r:id="rId7"/>
  </sheets>
  <definedNames/>
  <calcPr/>
</workbook>
</file>

<file path=xl/sharedStrings.xml><?xml version="1.0" encoding="utf-8"?>
<sst xmlns="http://schemas.openxmlformats.org/spreadsheetml/2006/main" count="20" uniqueCount="14">
  <si>
    <t>Module</t>
  </si>
  <si>
    <t>Temps Total</t>
  </si>
  <si>
    <t>Module 1</t>
  </si>
  <si>
    <t>Module 2</t>
  </si>
  <si>
    <t>Module 3</t>
  </si>
  <si>
    <t>Module 4</t>
  </si>
  <si>
    <t>Découpe</t>
  </si>
  <si>
    <t>Extraction</t>
  </si>
  <si>
    <t>Backoffice</t>
  </si>
  <si>
    <t>FrontOffice</t>
  </si>
  <si>
    <t>Total Jour</t>
  </si>
  <si>
    <t>Progression Cumulée</t>
  </si>
  <si>
    <t>Date</t>
  </si>
  <si>
    <t>Tableau de Bord - Suivi des Modules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</si>
</sst>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Montserrat"/>
    </font>
    <font>
      <color theme="1"/>
      <name val="Roboto"/>
    </font>
    <font>
      <b/>
      <sz val="18.0"/>
      <color theme="1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164" xfId="0" applyAlignment="1" applyFill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3" fontId="3" numFmtId="164" xfId="0" applyAlignment="1" applyFill="1" applyFont="1" applyNumberFormat="1">
      <alignment readingOrder="0"/>
    </xf>
    <xf borderId="0" fillId="4" fontId="3" numFmtId="164" xfId="0" applyAlignment="1" applyFill="1" applyFont="1" applyNumberFormat="1">
      <alignment readingOrder="0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184F3"/>
          <bgColor rgb="FF4184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>
        <color rgb="FFCC0000"/>
      </font>
      <fill>
        <patternFill patternType="solid">
          <fgColor rgb="FFFFCCCC"/>
          <bgColor rgb="FFFFCCCC"/>
        </patternFill>
      </fill>
      <border/>
    </dxf>
  </dxfs>
  <tableStyles count="2">
    <tableStyle count="3" pivot="0" name="Tracker-style">
      <tableStyleElement dxfId="1" type="headerRow"/>
      <tableStyleElement dxfId="2" type="firstRowStripe"/>
      <tableStyleElement dxfId="3" type="secondRowStripe"/>
    </tableStyle>
    <tableStyle count="3" pivot="0" name="Tracker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Temps Total par Module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Calc_Data!$A$1:$A$5</c:f>
            </c:strRef>
          </c:cat>
          <c:val>
            <c:numRef>
              <c:f>Calc_Data!$B$1:$B$5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Modules par Jour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Tracker!$B$1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Tracker!$A$2:$A$21</c:f>
            </c:strRef>
          </c:cat>
          <c:val>
            <c:numRef>
              <c:f>Tracker!$B$2:$B$21</c:f>
              <c:numCache/>
            </c:numRef>
          </c:val>
        </c:ser>
        <c:ser>
          <c:idx val="1"/>
          <c:order val="1"/>
          <c:tx>
            <c:strRef>
              <c:f>Tracker!$C$1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Tracker!$A$2:$A$21</c:f>
            </c:strRef>
          </c:cat>
          <c:val>
            <c:numRef>
              <c:f>Tracker!$C$2:$C$21</c:f>
              <c:numCache/>
            </c:numRef>
          </c:val>
        </c:ser>
        <c:ser>
          <c:idx val="2"/>
          <c:order val="2"/>
          <c:tx>
            <c:strRef>
              <c:f>Tracker!$D$1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Tracker!$A$2:$A$21</c:f>
            </c:strRef>
          </c:cat>
          <c:val>
            <c:numRef>
              <c:f>Tracker!$D$2:$D$21</c:f>
              <c:numCache/>
            </c:numRef>
          </c:val>
        </c:ser>
        <c:ser>
          <c:idx val="3"/>
          <c:order val="3"/>
          <c:tx>
            <c:strRef>
              <c:f>Tracker!$E$1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Tracker!$A$2:$A$21</c:f>
            </c:strRef>
          </c:cat>
          <c:val>
            <c:numRef>
              <c:f>Tracker!$E$2:$E$21</c:f>
              <c:numCache/>
            </c:numRef>
          </c:val>
        </c:ser>
        <c:overlap val="100"/>
        <c:axId val="2099847580"/>
        <c:axId val="1339636319"/>
      </c:barChart>
      <c:catAx>
        <c:axId val="2099847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9636319"/>
      </c:catAx>
      <c:valAx>
        <c:axId val="13396363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98475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Progression Générale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Tracker!$G$1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Tracker!$A$2:$A$21</c:f>
            </c:strRef>
          </c:cat>
          <c:val>
            <c:numRef>
              <c:f>Tracker!$G$2:$G$21</c:f>
              <c:numCache/>
            </c:numRef>
          </c:val>
          <c:smooth val="0"/>
        </c:ser>
        <c:axId val="1358390215"/>
        <c:axId val="634241695"/>
      </c:lineChart>
      <c:catAx>
        <c:axId val="1358390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4241695"/>
      </c:catAx>
      <c:valAx>
        <c:axId val="6342416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Progression Cumulée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83902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5715000" cy="3333750"/>
    <xdr:graphicFrame>
      <xdr:nvGraphicFramePr>
        <xdr:cNvPr id="1" name="Chart 1" title="Temps Total par Modul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5</xdr:row>
      <xdr:rowOff>0</xdr:rowOff>
    </xdr:from>
    <xdr:ext cx="6667500" cy="3333750"/>
    <xdr:graphicFrame>
      <xdr:nvGraphicFramePr>
        <xdr:cNvPr id="2" name="Chart 2" title="Modules par Jou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17</xdr:row>
      <xdr:rowOff>0</xdr:rowOff>
    </xdr:from>
    <xdr:ext cx="12382500" cy="3333750"/>
    <xdr:graphicFrame>
      <xdr:nvGraphicFramePr>
        <xdr:cNvPr id="3" name="Chart 3" title="Progression Général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G21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rack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I1:O21" displayName="Table_2" name="Table_2" id="2">
  <tableColumns count="7">
    <tableColumn name="Date" id="1"/>
    <tableColumn name="Découpe" id="2"/>
    <tableColumn name="Extraction" id="3"/>
    <tableColumn name="Backoffice" id="4"/>
    <tableColumn name="FrontOffice" id="5"/>
    <tableColumn name="Total Jour" id="6"/>
    <tableColumn name="Progression Cumulée" id="7"/>
  </tableColumns>
  <tableStyleInfo name="Tracker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5.88"/>
  </cols>
  <sheetData>
    <row r="1">
      <c r="A1" s="3">
        <v>0.0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I1" s="3" t="s">
        <v>12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</row>
    <row r="2">
      <c r="A2" s="4">
        <v>46188.0</v>
      </c>
      <c r="B2" s="5">
        <v>4.0</v>
      </c>
      <c r="C2" s="5">
        <v>3.0</v>
      </c>
      <c r="D2" s="5">
        <v>0.0</v>
      </c>
      <c r="E2" s="5">
        <v>0.0</v>
      </c>
      <c r="F2" s="6">
        <f t="shared" ref="F2:F21" si="1">SUM(B2:E2)</f>
        <v>7</v>
      </c>
      <c r="G2" s="6">
        <f t="shared" ref="G2:G21" si="2">SUM($F$2:F2)</f>
        <v>7</v>
      </c>
      <c r="I2" s="4">
        <v>46230.0</v>
      </c>
      <c r="J2" s="5">
        <v>0.0</v>
      </c>
      <c r="K2" s="5">
        <v>0.0</v>
      </c>
      <c r="L2" s="5">
        <v>6.0</v>
      </c>
      <c r="M2" s="5">
        <v>1.0</v>
      </c>
      <c r="N2" s="6">
        <f t="shared" ref="N2:N21" si="3">SUM(J2:M2)</f>
        <v>7</v>
      </c>
      <c r="O2" s="6">
        <f t="shared" ref="O2:O21" si="4">SUM($N$2:N2)</f>
        <v>7</v>
      </c>
    </row>
    <row r="3">
      <c r="A3" s="4">
        <v>46189.0</v>
      </c>
      <c r="B3" s="5">
        <v>2.0</v>
      </c>
      <c r="C3" s="5">
        <v>5.0</v>
      </c>
      <c r="D3" s="5">
        <v>0.0</v>
      </c>
      <c r="E3" s="5">
        <v>0.0</v>
      </c>
      <c r="F3" s="6">
        <f t="shared" si="1"/>
        <v>7</v>
      </c>
      <c r="G3" s="6">
        <f t="shared" si="2"/>
        <v>14</v>
      </c>
      <c r="I3" s="4">
        <v>46231.0</v>
      </c>
      <c r="J3" s="5">
        <v>0.0</v>
      </c>
      <c r="K3" s="5">
        <v>0.0</v>
      </c>
      <c r="L3" s="5">
        <v>7.0</v>
      </c>
      <c r="M3" s="5">
        <v>0.0</v>
      </c>
      <c r="N3" s="6">
        <f t="shared" si="3"/>
        <v>7</v>
      </c>
      <c r="O3" s="6">
        <f t="shared" si="4"/>
        <v>14</v>
      </c>
    </row>
    <row r="4">
      <c r="A4" s="4">
        <v>46190.0</v>
      </c>
      <c r="B4" s="5">
        <v>2.0</v>
      </c>
      <c r="C4" s="5">
        <v>5.0</v>
      </c>
      <c r="D4" s="5">
        <v>0.0</v>
      </c>
      <c r="E4" s="5">
        <v>0.0</v>
      </c>
      <c r="F4" s="6">
        <f t="shared" si="1"/>
        <v>7</v>
      </c>
      <c r="G4" s="6">
        <f t="shared" si="2"/>
        <v>21</v>
      </c>
      <c r="I4" s="4">
        <v>46232.0</v>
      </c>
      <c r="J4" s="5">
        <v>0.0</v>
      </c>
      <c r="K4" s="5">
        <v>0.0</v>
      </c>
      <c r="L4" s="5">
        <v>7.0</v>
      </c>
      <c r="M4" s="5">
        <v>0.0</v>
      </c>
      <c r="N4" s="6">
        <f t="shared" si="3"/>
        <v>7</v>
      </c>
      <c r="O4" s="6">
        <f t="shared" si="4"/>
        <v>21</v>
      </c>
    </row>
    <row r="5">
      <c r="A5" s="4">
        <v>46191.0</v>
      </c>
      <c r="B5" s="5">
        <v>4.0</v>
      </c>
      <c r="C5" s="5">
        <v>3.0</v>
      </c>
      <c r="D5" s="5">
        <v>0.0</v>
      </c>
      <c r="E5" s="5">
        <v>0.0</v>
      </c>
      <c r="F5" s="6">
        <f t="shared" si="1"/>
        <v>7</v>
      </c>
      <c r="G5" s="6">
        <f t="shared" si="2"/>
        <v>28</v>
      </c>
      <c r="I5" s="4">
        <v>46233.0</v>
      </c>
      <c r="J5" s="5">
        <v>0.0</v>
      </c>
      <c r="K5" s="5">
        <v>0.0</v>
      </c>
      <c r="L5" s="5">
        <v>7.0</v>
      </c>
      <c r="M5" s="5">
        <v>0.0</v>
      </c>
      <c r="N5" s="6">
        <f t="shared" si="3"/>
        <v>7</v>
      </c>
      <c r="O5" s="6">
        <f t="shared" si="4"/>
        <v>28</v>
      </c>
    </row>
    <row r="6">
      <c r="A6" s="4">
        <v>46192.0</v>
      </c>
      <c r="B6" s="5">
        <v>1.0</v>
      </c>
      <c r="C6" s="5">
        <v>6.0</v>
      </c>
      <c r="D6" s="5">
        <v>0.0</v>
      </c>
      <c r="E6" s="5">
        <v>0.0</v>
      </c>
      <c r="F6" s="6">
        <f t="shared" si="1"/>
        <v>7</v>
      </c>
      <c r="G6" s="6">
        <f t="shared" si="2"/>
        <v>35</v>
      </c>
      <c r="I6" s="4">
        <v>46234.0</v>
      </c>
      <c r="J6" s="5">
        <v>0.0</v>
      </c>
      <c r="K6" s="5">
        <v>0.0</v>
      </c>
      <c r="L6" s="5">
        <v>7.0</v>
      </c>
      <c r="M6" s="5">
        <v>0.0</v>
      </c>
      <c r="N6" s="6">
        <f t="shared" si="3"/>
        <v>7</v>
      </c>
      <c r="O6" s="6">
        <f t="shared" si="4"/>
        <v>35</v>
      </c>
    </row>
    <row r="7">
      <c r="A7" s="7">
        <v>46195.0</v>
      </c>
      <c r="B7" s="5">
        <v>3.0</v>
      </c>
      <c r="C7" s="5">
        <v>3.0</v>
      </c>
      <c r="D7" s="5">
        <v>1.0</v>
      </c>
      <c r="E7" s="5">
        <v>0.0</v>
      </c>
      <c r="F7" s="6">
        <f t="shared" si="1"/>
        <v>7</v>
      </c>
      <c r="G7" s="6">
        <f t="shared" si="2"/>
        <v>42</v>
      </c>
      <c r="I7" s="7">
        <v>46237.0</v>
      </c>
      <c r="J7" s="5">
        <v>0.0</v>
      </c>
      <c r="K7" s="5">
        <v>0.0</v>
      </c>
      <c r="L7" s="5">
        <v>7.0</v>
      </c>
      <c r="M7" s="5">
        <v>0.0</v>
      </c>
      <c r="N7" s="6">
        <f t="shared" si="3"/>
        <v>7</v>
      </c>
      <c r="O7" s="6">
        <f t="shared" si="4"/>
        <v>42</v>
      </c>
    </row>
    <row r="8">
      <c r="A8" s="7">
        <v>46196.0</v>
      </c>
      <c r="B8" s="5">
        <v>0.0</v>
      </c>
      <c r="C8" s="5">
        <v>0.0</v>
      </c>
      <c r="D8" s="5">
        <v>5.0</v>
      </c>
      <c r="E8" s="5">
        <v>2.0</v>
      </c>
      <c r="F8" s="6">
        <f t="shared" si="1"/>
        <v>7</v>
      </c>
      <c r="G8" s="6">
        <f t="shared" si="2"/>
        <v>49</v>
      </c>
      <c r="I8" s="7">
        <v>46238.0</v>
      </c>
      <c r="J8" s="5">
        <v>0.0</v>
      </c>
      <c r="K8" s="5">
        <v>0.0</v>
      </c>
      <c r="L8" s="5">
        <v>7.0</v>
      </c>
      <c r="M8" s="5">
        <v>0.0</v>
      </c>
      <c r="N8" s="6">
        <f t="shared" si="3"/>
        <v>7</v>
      </c>
      <c r="O8" s="6">
        <f t="shared" si="4"/>
        <v>49</v>
      </c>
    </row>
    <row r="9">
      <c r="A9" s="7">
        <v>46197.0</v>
      </c>
      <c r="B9" s="5">
        <v>0.0</v>
      </c>
      <c r="C9" s="5">
        <v>0.0</v>
      </c>
      <c r="D9" s="5">
        <v>5.0</v>
      </c>
      <c r="E9" s="5">
        <v>2.0</v>
      </c>
      <c r="F9" s="6">
        <f t="shared" si="1"/>
        <v>7</v>
      </c>
      <c r="G9" s="6">
        <f t="shared" si="2"/>
        <v>56</v>
      </c>
      <c r="I9" s="7">
        <v>46239.0</v>
      </c>
      <c r="J9" s="5">
        <v>0.0</v>
      </c>
      <c r="K9" s="5">
        <v>0.0</v>
      </c>
      <c r="L9" s="5">
        <v>7.0</v>
      </c>
      <c r="M9" s="5">
        <v>0.0</v>
      </c>
      <c r="N9" s="6">
        <f t="shared" si="3"/>
        <v>7</v>
      </c>
      <c r="O9" s="6">
        <f t="shared" si="4"/>
        <v>56</v>
      </c>
    </row>
    <row r="10">
      <c r="A10" s="7">
        <v>46198.0</v>
      </c>
      <c r="B10" s="5">
        <v>0.0</v>
      </c>
      <c r="C10" s="5">
        <v>0.0</v>
      </c>
      <c r="D10" s="5">
        <v>6.0</v>
      </c>
      <c r="E10" s="5">
        <v>1.0</v>
      </c>
      <c r="F10" s="6">
        <f t="shared" si="1"/>
        <v>7</v>
      </c>
      <c r="G10" s="6">
        <f t="shared" si="2"/>
        <v>63</v>
      </c>
      <c r="I10" s="7">
        <v>46240.0</v>
      </c>
      <c r="J10" s="5">
        <v>0.0</v>
      </c>
      <c r="K10" s="5">
        <v>0.0</v>
      </c>
      <c r="L10" s="5">
        <v>7.0</v>
      </c>
      <c r="M10" s="5">
        <v>0.0</v>
      </c>
      <c r="N10" s="6">
        <f t="shared" si="3"/>
        <v>7</v>
      </c>
      <c r="O10" s="6">
        <f t="shared" si="4"/>
        <v>63</v>
      </c>
    </row>
    <row r="11">
      <c r="A11" s="7">
        <v>46199.0</v>
      </c>
      <c r="B11" s="5">
        <v>0.0</v>
      </c>
      <c r="C11" s="5">
        <v>0.0</v>
      </c>
      <c r="D11" s="5">
        <v>6.0</v>
      </c>
      <c r="E11" s="5">
        <v>1.0</v>
      </c>
      <c r="F11" s="6">
        <f t="shared" si="1"/>
        <v>7</v>
      </c>
      <c r="G11" s="6">
        <f t="shared" si="2"/>
        <v>70</v>
      </c>
      <c r="I11" s="7">
        <v>46241.0</v>
      </c>
      <c r="J11" s="5">
        <v>0.0</v>
      </c>
      <c r="K11" s="5">
        <v>0.0</v>
      </c>
      <c r="L11" s="5">
        <v>7.0</v>
      </c>
      <c r="M11" s="5">
        <v>0.0</v>
      </c>
      <c r="N11" s="6">
        <f t="shared" si="3"/>
        <v>7</v>
      </c>
      <c r="O11" s="6">
        <f t="shared" si="4"/>
        <v>70</v>
      </c>
    </row>
    <row r="12">
      <c r="A12" s="4">
        <v>46202.0</v>
      </c>
      <c r="B12" s="5">
        <v>0.0</v>
      </c>
      <c r="C12" s="5">
        <v>0.0</v>
      </c>
      <c r="D12" s="5">
        <v>5.0</v>
      </c>
      <c r="E12" s="5">
        <v>2.0</v>
      </c>
      <c r="F12" s="6">
        <f t="shared" si="1"/>
        <v>7</v>
      </c>
      <c r="G12" s="6">
        <f t="shared" si="2"/>
        <v>77</v>
      </c>
      <c r="I12" s="4">
        <v>46244.0</v>
      </c>
      <c r="J12" s="5">
        <v>0.0</v>
      </c>
      <c r="K12" s="5">
        <v>0.0</v>
      </c>
      <c r="L12" s="5">
        <v>7.0</v>
      </c>
      <c r="M12" s="5">
        <v>0.0</v>
      </c>
      <c r="N12" s="6">
        <f t="shared" si="3"/>
        <v>7</v>
      </c>
      <c r="O12" s="6">
        <f t="shared" si="4"/>
        <v>77</v>
      </c>
    </row>
    <row r="13">
      <c r="A13" s="4">
        <v>46203.0</v>
      </c>
      <c r="B13" s="5">
        <v>0.0</v>
      </c>
      <c r="C13" s="5">
        <v>0.0</v>
      </c>
      <c r="D13" s="5">
        <v>7.0</v>
      </c>
      <c r="E13" s="5">
        <v>0.0</v>
      </c>
      <c r="F13" s="6">
        <f t="shared" si="1"/>
        <v>7</v>
      </c>
      <c r="G13" s="6">
        <f t="shared" si="2"/>
        <v>84</v>
      </c>
      <c r="I13" s="4">
        <v>46245.0</v>
      </c>
      <c r="J13" s="5">
        <v>0.0</v>
      </c>
      <c r="K13" s="5">
        <v>0.0</v>
      </c>
      <c r="L13" s="5">
        <v>7.0</v>
      </c>
      <c r="M13" s="5">
        <v>0.0</v>
      </c>
      <c r="N13" s="6">
        <f t="shared" si="3"/>
        <v>7</v>
      </c>
      <c r="O13" s="6">
        <f t="shared" si="4"/>
        <v>84</v>
      </c>
    </row>
    <row r="14">
      <c r="A14" s="4">
        <v>46204.0</v>
      </c>
      <c r="B14" s="5">
        <v>0.0</v>
      </c>
      <c r="C14" s="5">
        <v>0.0</v>
      </c>
      <c r="D14" s="5">
        <v>3.0</v>
      </c>
      <c r="E14" s="5">
        <v>4.0</v>
      </c>
      <c r="F14" s="6">
        <f t="shared" si="1"/>
        <v>7</v>
      </c>
      <c r="G14" s="6">
        <f t="shared" si="2"/>
        <v>91</v>
      </c>
      <c r="I14" s="4">
        <v>46246.0</v>
      </c>
      <c r="J14" s="5">
        <v>0.0</v>
      </c>
      <c r="K14" s="5">
        <v>0.0</v>
      </c>
      <c r="L14" s="5">
        <v>7.0</v>
      </c>
      <c r="M14" s="5">
        <v>0.0</v>
      </c>
      <c r="N14" s="6">
        <f t="shared" si="3"/>
        <v>7</v>
      </c>
      <c r="O14" s="6">
        <f t="shared" si="4"/>
        <v>91</v>
      </c>
    </row>
    <row r="15">
      <c r="A15" s="4">
        <v>46205.0</v>
      </c>
      <c r="B15" s="5">
        <v>0.0</v>
      </c>
      <c r="C15" s="5">
        <v>0.0</v>
      </c>
      <c r="D15" s="5">
        <v>5.0</v>
      </c>
      <c r="E15" s="5">
        <v>2.0</v>
      </c>
      <c r="F15" s="6">
        <f t="shared" si="1"/>
        <v>7</v>
      </c>
      <c r="G15" s="6">
        <f t="shared" si="2"/>
        <v>98</v>
      </c>
      <c r="I15" s="4">
        <v>46247.0</v>
      </c>
      <c r="J15" s="5">
        <v>0.0</v>
      </c>
      <c r="K15" s="5">
        <v>0.0</v>
      </c>
      <c r="L15" s="5">
        <v>4.0</v>
      </c>
      <c r="M15" s="5">
        <v>3.0</v>
      </c>
      <c r="N15" s="6">
        <f t="shared" si="3"/>
        <v>7</v>
      </c>
      <c r="O15" s="6">
        <f t="shared" si="4"/>
        <v>98</v>
      </c>
    </row>
    <row r="16">
      <c r="A16" s="4">
        <v>46206.0</v>
      </c>
      <c r="B16" s="5">
        <v>0.0</v>
      </c>
      <c r="C16" s="5">
        <v>0.0</v>
      </c>
      <c r="D16" s="5">
        <v>7.0</v>
      </c>
      <c r="E16" s="5">
        <v>0.0</v>
      </c>
      <c r="F16" s="6">
        <f t="shared" si="1"/>
        <v>7</v>
      </c>
      <c r="G16" s="6">
        <f t="shared" si="2"/>
        <v>105</v>
      </c>
      <c r="I16" s="4">
        <v>46248.0</v>
      </c>
      <c r="J16" s="5">
        <v>0.0</v>
      </c>
      <c r="K16" s="5">
        <v>0.0</v>
      </c>
      <c r="L16" s="5">
        <v>0.0</v>
      </c>
      <c r="M16" s="5">
        <v>7.0</v>
      </c>
      <c r="N16" s="6">
        <f t="shared" si="3"/>
        <v>7</v>
      </c>
      <c r="O16" s="6">
        <f t="shared" si="4"/>
        <v>105</v>
      </c>
    </row>
    <row r="17">
      <c r="A17" s="7">
        <v>46209.0</v>
      </c>
      <c r="B17" s="5">
        <v>0.0</v>
      </c>
      <c r="C17" s="5">
        <v>0.0</v>
      </c>
      <c r="D17" s="5">
        <v>7.0</v>
      </c>
      <c r="E17" s="5">
        <v>0.0</v>
      </c>
      <c r="F17" s="6">
        <f t="shared" si="1"/>
        <v>7</v>
      </c>
      <c r="G17" s="6">
        <f t="shared" si="2"/>
        <v>112</v>
      </c>
      <c r="I17" s="7">
        <v>46251.0</v>
      </c>
      <c r="J17" s="5"/>
      <c r="K17" s="5"/>
      <c r="L17" s="5"/>
      <c r="M17" s="5"/>
      <c r="N17" s="6">
        <f t="shared" si="3"/>
        <v>0</v>
      </c>
      <c r="O17" s="6">
        <f t="shared" si="4"/>
        <v>105</v>
      </c>
    </row>
    <row r="18">
      <c r="A18" s="7">
        <v>46210.0</v>
      </c>
      <c r="B18" s="5">
        <v>0.0</v>
      </c>
      <c r="C18" s="5">
        <v>0.0</v>
      </c>
      <c r="D18" s="5">
        <v>7.0</v>
      </c>
      <c r="E18" s="5">
        <v>0.0</v>
      </c>
      <c r="F18" s="6">
        <f t="shared" si="1"/>
        <v>7</v>
      </c>
      <c r="G18" s="6">
        <f t="shared" si="2"/>
        <v>119</v>
      </c>
      <c r="I18" s="7">
        <v>46252.0</v>
      </c>
      <c r="J18" s="5"/>
      <c r="K18" s="5"/>
      <c r="L18" s="5"/>
      <c r="M18" s="5"/>
      <c r="N18" s="6">
        <f t="shared" si="3"/>
        <v>0</v>
      </c>
      <c r="O18" s="6">
        <f t="shared" si="4"/>
        <v>105</v>
      </c>
    </row>
    <row r="19">
      <c r="A19" s="7">
        <v>46211.0</v>
      </c>
      <c r="B19" s="5">
        <v>0.0</v>
      </c>
      <c r="C19" s="5">
        <v>0.0</v>
      </c>
      <c r="D19" s="5">
        <v>7.0</v>
      </c>
      <c r="E19" s="5">
        <v>0.0</v>
      </c>
      <c r="F19" s="6">
        <f t="shared" si="1"/>
        <v>7</v>
      </c>
      <c r="G19" s="6">
        <f t="shared" si="2"/>
        <v>126</v>
      </c>
      <c r="I19" s="7">
        <v>46253.0</v>
      </c>
      <c r="J19" s="5"/>
      <c r="K19" s="5"/>
      <c r="L19" s="5"/>
      <c r="M19" s="5"/>
      <c r="N19" s="6">
        <f t="shared" si="3"/>
        <v>0</v>
      </c>
      <c r="O19" s="6">
        <f t="shared" si="4"/>
        <v>105</v>
      </c>
    </row>
    <row r="20">
      <c r="A20" s="7">
        <v>46212.0</v>
      </c>
      <c r="B20" s="5">
        <v>0.0</v>
      </c>
      <c r="C20" s="5">
        <v>0.0</v>
      </c>
      <c r="D20" s="5">
        <v>7.0</v>
      </c>
      <c r="E20" s="5">
        <v>0.0</v>
      </c>
      <c r="F20" s="6">
        <f t="shared" si="1"/>
        <v>7</v>
      </c>
      <c r="G20" s="6">
        <f t="shared" si="2"/>
        <v>133</v>
      </c>
      <c r="I20" s="7">
        <v>46254.0</v>
      </c>
      <c r="J20" s="5"/>
      <c r="K20" s="5"/>
      <c r="L20" s="5"/>
      <c r="M20" s="5"/>
      <c r="N20" s="6">
        <f t="shared" si="3"/>
        <v>0</v>
      </c>
      <c r="O20" s="6">
        <f t="shared" si="4"/>
        <v>105</v>
      </c>
    </row>
    <row r="21">
      <c r="A21" s="7">
        <v>46213.0</v>
      </c>
      <c r="B21" s="5">
        <v>0.0</v>
      </c>
      <c r="C21" s="5">
        <v>0.0</v>
      </c>
      <c r="D21" s="5">
        <v>7.0</v>
      </c>
      <c r="E21" s="5">
        <v>0.0</v>
      </c>
      <c r="F21" s="6">
        <f t="shared" si="1"/>
        <v>7</v>
      </c>
      <c r="G21" s="6">
        <f t="shared" si="2"/>
        <v>140</v>
      </c>
      <c r="I21" s="7">
        <v>46255.0</v>
      </c>
      <c r="J21" s="5"/>
      <c r="K21" s="5"/>
      <c r="L21" s="5"/>
      <c r="M21" s="5"/>
      <c r="N21" s="6">
        <f t="shared" si="3"/>
        <v>0</v>
      </c>
      <c r="O21" s="6">
        <f t="shared" si="4"/>
        <v>105</v>
      </c>
    </row>
    <row r="22">
      <c r="I22" s="8"/>
    </row>
  </sheetData>
  <conditionalFormatting sqref="F2:F21 N2:N21">
    <cfRule type="cellIs" dxfId="4" priority="1" stopIfTrue="1" operator="greaterThan">
      <formula>7</formula>
    </cfRule>
  </conditionalFormatting>
  <dataValidations>
    <dataValidation type="decimal" allowBlank="1" showErrorMessage="1" sqref="B2:E21 J2:M21">
      <formula1>0.0</formula1>
      <formula2>7.0</formula2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9" t="s">
        <v>13</v>
      </c>
    </row>
  </sheetData>
  <mergeCells count="1">
    <mergeCell ref="B2:N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>
        <f>SUM(Tracker!B2:B21)</f>
        <v>16</v>
      </c>
    </row>
    <row r="3">
      <c r="A3" s="1" t="s">
        <v>3</v>
      </c>
      <c r="B3" s="2">
        <f>SUM(Tracker!C2:C21)</f>
        <v>25</v>
      </c>
    </row>
    <row r="4">
      <c r="A4" s="1" t="s">
        <v>4</v>
      </c>
      <c r="B4" s="2">
        <f>SUM(Tracker!D2:D21)</f>
        <v>85</v>
      </c>
    </row>
    <row r="5">
      <c r="A5" s="1" t="s">
        <v>5</v>
      </c>
      <c r="B5" s="2">
        <f>SUM(Tracker!E2:E21)</f>
        <v>14</v>
      </c>
    </row>
  </sheetData>
  <drawing r:id="rId1"/>
</worksheet>
</file>